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eo\Git\ENPM818J\Midterm\"/>
    </mc:Choice>
  </mc:AlternateContent>
  <xr:revisionPtr revIDLastSave="0" documentId="13_ncr:1_{105803E5-3317-4164-800E-D0955D1DF086}" xr6:coauthVersionLast="47" xr6:coauthVersionMax="47" xr10:uidLastSave="{00000000-0000-0000-0000-000000000000}"/>
  <bookViews>
    <workbookView xWindow="-108" yWindow="-108" windowWidth="23256" windowHeight="12456" xr2:uid="{42F42B02-E868-469F-B953-81B95CE146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" l="1"/>
  <c r="C43" i="1"/>
  <c r="R9" i="1"/>
  <c r="R10" i="1"/>
  <c r="C26" i="1" s="1"/>
  <c r="R11" i="1"/>
</calcChain>
</file>

<file path=xl/sharedStrings.xml><?xml version="1.0" encoding="utf-8"?>
<sst xmlns="http://schemas.openxmlformats.org/spreadsheetml/2006/main" count="89" uniqueCount="45">
  <si>
    <t>Romeo Perlstein</t>
  </si>
  <si>
    <t>ENPM818J - Real Time Operating Systems</t>
  </si>
  <si>
    <t>College Park, MD 20742</t>
  </si>
  <si>
    <t>HW2, Week 3</t>
  </si>
  <si>
    <t>PROMPT: Q. Verify the schedulability under EDF and construct EDF schedule of the following tasks set in the interval (0 to 20 units of time). Draw a timing diagram showing task execution for 20 units of time. Consider the following task set: τ1 ≡ {1, 5, 4}, τ2 ≡ {2, 8, 6}, and τ3 ≡ {1, 4, 3}. Here, the notation τi ≡ { ei , pi , Di } gives the execution time, ei , period, pi , and relative deadline, Di , of task τi .</t>
  </si>
  <si>
    <t>Time = 0</t>
  </si>
  <si>
    <r>
      <t>Task 1 (</t>
    </r>
    <r>
      <rPr>
        <sz val="11"/>
        <color theme="1"/>
        <rFont val="DengXian"/>
        <charset val="134"/>
      </rPr>
      <t>τ</t>
    </r>
    <r>
      <rPr>
        <sz val="11"/>
        <color theme="1"/>
        <rFont val="Aptos Narrow"/>
        <family val="2"/>
      </rPr>
      <t>1)</t>
    </r>
  </si>
  <si>
    <r>
      <t>Task 2 (</t>
    </r>
    <r>
      <rPr>
        <sz val="11"/>
        <color theme="1"/>
        <rFont val="DengXian"/>
        <charset val="134"/>
      </rPr>
      <t>τ2</t>
    </r>
    <r>
      <rPr>
        <sz val="11"/>
        <color theme="1"/>
        <rFont val="Aptos Narrow"/>
        <family val="2"/>
      </rPr>
      <t>)</t>
    </r>
  </si>
  <si>
    <r>
      <t>Task 3 (</t>
    </r>
    <r>
      <rPr>
        <sz val="11"/>
        <color theme="1"/>
        <rFont val="DengXian"/>
        <charset val="134"/>
      </rPr>
      <t>τ3</t>
    </r>
    <r>
      <rPr>
        <sz val="11"/>
        <color theme="1"/>
        <rFont val="Aptos Narrow"/>
        <family val="2"/>
      </rPr>
      <t>)</t>
    </r>
  </si>
  <si>
    <t>{1, 5, 4}</t>
  </si>
  <si>
    <t>{2, 8,6}</t>
  </si>
  <si>
    <t>{1,4,3}</t>
  </si>
  <si>
    <t>τ2</t>
  </si>
  <si>
    <t>τ3</t>
  </si>
  <si>
    <t>τ1</t>
  </si>
  <si>
    <t>Task</t>
  </si>
  <si>
    <t>ei</t>
  </si>
  <si>
    <t>pi</t>
  </si>
  <si>
    <t>Di</t>
  </si>
  <si>
    <t xml:space="preserve">Schedulability </t>
  </si>
  <si>
    <t>ui</t>
  </si>
  <si>
    <r>
      <rPr>
        <b/>
        <sz val="11"/>
        <color theme="1"/>
        <rFont val="Aptos Narrow"/>
        <family val="2"/>
        <scheme val="minor"/>
      </rPr>
      <t>Σ</t>
    </r>
    <r>
      <rPr>
        <sz val="11"/>
        <color theme="1"/>
        <rFont val="Aptos Narrow"/>
        <family val="2"/>
        <scheme val="minor"/>
      </rPr>
      <t xml:space="preserve"> ui = </t>
    </r>
  </si>
  <si>
    <t>Tasks are schedulable under EDF!</t>
  </si>
  <si>
    <t>τ1 pre-empts τ2</t>
  </si>
  <si>
    <t>τ2 starts again, finishes</t>
  </si>
  <si>
    <t>No tasks running</t>
  </si>
  <si>
    <t>τ3 starts</t>
  </si>
  <si>
    <t>τ2 starts</t>
  </si>
  <si>
    <t>τ3 starts late</t>
  </si>
  <si>
    <t>τ1 starts late</t>
  </si>
  <si>
    <t>τ2 starts late</t>
  </si>
  <si>
    <t>τ3 starts, finishes</t>
  </si>
  <si>
    <t>τ1 starts, finishes</t>
  </si>
  <si>
    <t>τ2 finishes</t>
  </si>
  <si>
    <t>Timeline</t>
  </si>
  <si>
    <t>Q4</t>
  </si>
  <si>
    <t>Q5</t>
  </si>
  <si>
    <t>n_val</t>
  </si>
  <si>
    <t>ui &lt; n_val!</t>
  </si>
  <si>
    <t>Task is schedulable!</t>
  </si>
  <si>
    <t>τ3 starts, preempt τ2</t>
  </si>
  <si>
    <t>τ1 starts pre-empts τ2</t>
  </si>
  <si>
    <t>τ3 starts, pre-empts τ2</t>
  </si>
  <si>
    <t>3(2^(1/3)-1)</t>
  </si>
  <si>
    <t>&lt;------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</si>
</sst>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DengXian"/>
      <charset val="134"/>
    </font>
    <font>
      <sz val="11"/>
      <color theme="1"/>
      <name val="Aptos Narrow"/>
      <family val="2"/>
    </font>
    <font>
      <sz val="10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9" xfId="0" applyBorder="1"/>
    <xf numFmtId="0" fontId="0" fillId="0" borderId="10" xfId="0" applyBorder="1"/>
    <xf numFmtId="0" fontId="0" fillId="0" borderId="7" xfId="0" applyBorder="1"/>
    <xf numFmtId="0" fontId="0" fillId="0" borderId="8" xfId="0" applyBorder="1"/>
    <xf numFmtId="0" fontId="0" fillId="0" borderId="5" xfId="0" applyBorder="1"/>
    <xf numFmtId="0" fontId="0" fillId="4" borderId="8" xfId="0" applyFill="1" applyBorder="1"/>
    <xf numFmtId="0" fontId="0" fillId="4" borderId="0" xfId="0" applyFill="1"/>
    <xf numFmtId="0" fontId="0" fillId="3" borderId="4" xfId="0" applyFill="1" applyBorder="1"/>
    <xf numFmtId="0" fontId="0" fillId="0" borderId="3" xfId="0" applyBorder="1" applyAlignment="1">
      <alignment horizontal="center"/>
    </xf>
    <xf numFmtId="0" fontId="0" fillId="4" borderId="10" xfId="0" applyFill="1" applyBorder="1"/>
    <xf numFmtId="0" fontId="0" fillId="4" borderId="6" xfId="0" applyFill="1" applyBorder="1"/>
    <xf numFmtId="0" fontId="0" fillId="6" borderId="9" xfId="0" applyFill="1" applyBorder="1"/>
    <xf numFmtId="0" fontId="0" fillId="6" borderId="6" xfId="0" applyFill="1" applyBorder="1"/>
    <xf numFmtId="0" fontId="0" fillId="6" borderId="8" xfId="0" applyFill="1" applyBorder="1" applyAlignment="1">
      <alignment horizontal="center"/>
    </xf>
    <xf numFmtId="0" fontId="0" fillId="3" borderId="9" xfId="0" applyFill="1" applyBorder="1"/>
    <xf numFmtId="0" fontId="0" fillId="7" borderId="9" xfId="0" applyFill="1" applyBorder="1"/>
    <xf numFmtId="0" fontId="0" fillId="7" borderId="12" xfId="0" applyFill="1" applyBorder="1"/>
    <xf numFmtId="0" fontId="0" fillId="7" borderId="13" xfId="0" applyFill="1" applyBorder="1" applyAlignment="1">
      <alignment horizontal="center"/>
    </xf>
    <xf numFmtId="0" fontId="0" fillId="8" borderId="12" xfId="0" applyFill="1" applyBorder="1"/>
    <xf numFmtId="0" fontId="0" fillId="8" borderId="13" xfId="0" applyFill="1" applyBorder="1" applyAlignment="1">
      <alignment horizontal="center"/>
    </xf>
    <xf numFmtId="0" fontId="0" fillId="8" borderId="9" xfId="0" applyFill="1" applyBorder="1"/>
    <xf numFmtId="0" fontId="0" fillId="2" borderId="9" xfId="0" applyFill="1" applyBorder="1"/>
    <xf numFmtId="0" fontId="0" fillId="6" borderId="10" xfId="0" applyFill="1" applyBorder="1"/>
    <xf numFmtId="0" fontId="0" fillId="5" borderId="10" xfId="0" applyFill="1" applyBorder="1"/>
    <xf numFmtId="0" fontId="0" fillId="6" borderId="8" xfId="0" applyFill="1" applyBorder="1"/>
    <xf numFmtId="0" fontId="0" fillId="0" borderId="12" xfId="0" applyBorder="1"/>
    <xf numFmtId="0" fontId="0" fillId="0" borderId="13" xfId="0" applyBorder="1"/>
    <xf numFmtId="0" fontId="0" fillId="0" borderId="6" xfId="0" applyBorder="1" applyAlignment="1">
      <alignment horizontal="right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16" xfId="0" applyBorder="1"/>
    <xf numFmtId="0" fontId="0" fillId="0" borderId="17" xfId="0" applyBorder="1"/>
    <xf numFmtId="0" fontId="0" fillId="0" borderId="1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4" fillId="0" borderId="14" xfId="0" applyFont="1" applyBorder="1" applyAlignment="1">
      <alignment horizontal="center" vertical="top" wrapText="1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4" fillId="0" borderId="11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 vertical="top"/>
    </xf>
    <xf numFmtId="0" fontId="4" fillId="0" borderId="15" xfId="0" applyFont="1" applyBorder="1" applyAlignment="1">
      <alignment horizontal="center" vertical="top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5" fillId="0" borderId="0" xfId="0" applyFont="1"/>
    <xf numFmtId="0" fontId="0" fillId="0" borderId="1" xfId="0" applyBorder="1"/>
    <xf numFmtId="0" fontId="0" fillId="0" borderId="3" xfId="0" applyBorder="1"/>
    <xf numFmtId="0" fontId="0" fillId="0" borderId="1" xfId="0" applyBorder="1" applyAlignment="1">
      <alignment horizontal="right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/>
    </xf>
    <xf numFmtId="0" fontId="6" fillId="0" borderId="1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968DE-D492-48BB-BD7E-9676A354A2FA}">
  <dimension ref="B2:AG46"/>
  <sheetViews>
    <sheetView tabSelected="1" topLeftCell="A27" zoomScale="101" zoomScaleNormal="49" workbookViewId="0">
      <selection activeCell="L47" sqref="L47"/>
    </sheetView>
  </sheetViews>
  <sheetFormatPr defaultRowHeight="14.4" x14ac:dyDescent="0.3"/>
  <cols>
    <col min="1" max="35" width="6.77734375" customWidth="1"/>
  </cols>
  <sheetData>
    <row r="2" spans="2:30" ht="15" thickBot="1" x14ac:dyDescent="0.35"/>
    <row r="3" spans="2:30" x14ac:dyDescent="0.3">
      <c r="B3" s="46" t="s">
        <v>0</v>
      </c>
      <c r="C3" s="47"/>
      <c r="D3" s="47"/>
      <c r="E3" s="47"/>
      <c r="F3" s="47"/>
      <c r="G3" s="48"/>
    </row>
    <row r="4" spans="2:30" x14ac:dyDescent="0.3">
      <c r="B4" s="49" t="s">
        <v>1</v>
      </c>
      <c r="C4" s="50"/>
      <c r="D4" s="50"/>
      <c r="E4" s="50"/>
      <c r="F4" s="50"/>
      <c r="G4" s="51"/>
    </row>
    <row r="5" spans="2:30" x14ac:dyDescent="0.3">
      <c r="B5" s="49" t="s">
        <v>2</v>
      </c>
      <c r="C5" s="50"/>
      <c r="D5" s="50"/>
      <c r="E5" s="50"/>
      <c r="F5" s="50"/>
      <c r="G5" s="51"/>
    </row>
    <row r="6" spans="2:30" x14ac:dyDescent="0.3">
      <c r="B6" s="49"/>
      <c r="C6" s="50"/>
      <c r="D6" s="50"/>
      <c r="E6" s="50"/>
      <c r="F6" s="50"/>
      <c r="G6" s="51"/>
    </row>
    <row r="7" spans="2:30" ht="15" thickBot="1" x14ac:dyDescent="0.35">
      <c r="B7" s="52" t="s">
        <v>3</v>
      </c>
      <c r="C7" s="53"/>
      <c r="D7" s="53"/>
      <c r="E7" s="53"/>
      <c r="F7" s="53"/>
      <c r="G7" s="54"/>
    </row>
    <row r="8" spans="2:30" ht="15" thickBot="1" x14ac:dyDescent="0.35">
      <c r="N8" s="31" t="s">
        <v>15</v>
      </c>
      <c r="O8" s="32" t="s">
        <v>16</v>
      </c>
      <c r="P8" s="32" t="s">
        <v>17</v>
      </c>
      <c r="Q8" s="32" t="s">
        <v>18</v>
      </c>
      <c r="R8" s="31" t="s">
        <v>20</v>
      </c>
    </row>
    <row r="9" spans="2:30" ht="14.4" customHeight="1" x14ac:dyDescent="0.3">
      <c r="B9" s="33" t="s">
        <v>4</v>
      </c>
      <c r="C9" s="38"/>
      <c r="D9" s="38"/>
      <c r="E9" s="38"/>
      <c r="F9" s="38"/>
      <c r="G9" s="38"/>
      <c r="H9" s="38"/>
      <c r="I9" s="38"/>
      <c r="J9" s="38"/>
      <c r="K9" s="34"/>
      <c r="N9" s="1" t="s">
        <v>14</v>
      </c>
      <c r="O9">
        <v>1</v>
      </c>
      <c r="P9">
        <v>5</v>
      </c>
      <c r="Q9">
        <v>4</v>
      </c>
      <c r="R9" s="1">
        <f>O9/P9</f>
        <v>0.2</v>
      </c>
    </row>
    <row r="10" spans="2:30" x14ac:dyDescent="0.3">
      <c r="B10" s="39"/>
      <c r="C10" s="40"/>
      <c r="D10" s="40"/>
      <c r="E10" s="40"/>
      <c r="F10" s="40"/>
      <c r="G10" s="40"/>
      <c r="H10" s="40"/>
      <c r="I10" s="40"/>
      <c r="J10" s="40"/>
      <c r="K10" s="41"/>
      <c r="N10" s="1" t="s">
        <v>12</v>
      </c>
      <c r="O10">
        <v>2</v>
      </c>
      <c r="P10">
        <v>8</v>
      </c>
      <c r="Q10">
        <v>6</v>
      </c>
      <c r="R10" s="1">
        <f t="shared" ref="R10:R11" si="0">O10/P10</f>
        <v>0.25</v>
      </c>
    </row>
    <row r="11" spans="2:30" ht="15" thickBot="1" x14ac:dyDescent="0.35">
      <c r="B11" s="39"/>
      <c r="C11" s="40"/>
      <c r="D11" s="40"/>
      <c r="E11" s="40"/>
      <c r="F11" s="40"/>
      <c r="G11" s="40"/>
      <c r="H11" s="40"/>
      <c r="I11" s="40"/>
      <c r="J11" s="40"/>
      <c r="K11" s="41"/>
      <c r="N11" s="2" t="s">
        <v>13</v>
      </c>
      <c r="O11" s="3">
        <v>1</v>
      </c>
      <c r="P11" s="3">
        <v>4</v>
      </c>
      <c r="Q11" s="3">
        <v>3</v>
      </c>
      <c r="R11" s="2">
        <f t="shared" si="0"/>
        <v>0.25</v>
      </c>
    </row>
    <row r="12" spans="2:30" x14ac:dyDescent="0.3">
      <c r="B12" s="39"/>
      <c r="C12" s="40"/>
      <c r="D12" s="40"/>
      <c r="E12" s="40"/>
      <c r="F12" s="40"/>
      <c r="G12" s="40"/>
      <c r="H12" s="40"/>
      <c r="I12" s="40"/>
      <c r="J12" s="40"/>
      <c r="K12" s="41"/>
    </row>
    <row r="13" spans="2:30" ht="15" thickBot="1" x14ac:dyDescent="0.35">
      <c r="B13" s="35"/>
      <c r="C13" s="42"/>
      <c r="D13" s="42"/>
      <c r="E13" s="42"/>
      <c r="F13" s="42"/>
      <c r="G13" s="42"/>
      <c r="H13" s="42"/>
      <c r="I13" s="42"/>
      <c r="J13" s="42"/>
      <c r="K13" s="36"/>
    </row>
    <row r="15" spans="2:30" ht="28.8" x14ac:dyDescent="0.55000000000000004">
      <c r="B15" s="55" t="s">
        <v>35</v>
      </c>
    </row>
    <row r="16" spans="2:30" ht="15" thickBot="1" x14ac:dyDescent="0.35">
      <c r="B16" s="7"/>
      <c r="C16" s="6" t="s">
        <v>5</v>
      </c>
      <c r="D16" s="10">
        <v>1</v>
      </c>
      <c r="E16" s="10">
        <v>2</v>
      </c>
      <c r="F16" s="10">
        <v>3</v>
      </c>
      <c r="G16" s="10">
        <v>4</v>
      </c>
      <c r="H16" s="10">
        <v>5</v>
      </c>
      <c r="I16" s="10">
        <v>6</v>
      </c>
      <c r="J16" s="10">
        <v>7</v>
      </c>
      <c r="K16" s="10">
        <v>8</v>
      </c>
      <c r="L16" s="10">
        <v>9</v>
      </c>
      <c r="M16" s="10">
        <v>10</v>
      </c>
      <c r="N16" s="10">
        <v>11</v>
      </c>
      <c r="O16" s="10">
        <v>12</v>
      </c>
      <c r="P16" s="10">
        <v>13</v>
      </c>
      <c r="Q16" s="10">
        <v>14</v>
      </c>
      <c r="R16" s="10">
        <v>15</v>
      </c>
      <c r="S16" s="10">
        <v>16</v>
      </c>
      <c r="T16" s="10">
        <v>17</v>
      </c>
      <c r="U16" s="10">
        <v>18</v>
      </c>
      <c r="V16" s="10">
        <v>19</v>
      </c>
      <c r="W16" s="11">
        <v>20</v>
      </c>
      <c r="X16" s="11">
        <v>21</v>
      </c>
      <c r="Y16" s="11">
        <v>22</v>
      </c>
      <c r="Z16" s="11">
        <v>23</v>
      </c>
      <c r="AA16" s="10">
        <v>24</v>
      </c>
      <c r="AB16" s="10">
        <v>25</v>
      </c>
      <c r="AC16" s="10">
        <v>26</v>
      </c>
      <c r="AD16" s="10">
        <v>27</v>
      </c>
    </row>
    <row r="17" spans="2:33" ht="15" thickBot="1" x14ac:dyDescent="0.35">
      <c r="B17" s="19" t="s">
        <v>6</v>
      </c>
      <c r="C17" s="20" t="s">
        <v>9</v>
      </c>
      <c r="D17" s="21"/>
      <c r="E17" s="22"/>
      <c r="F17" s="22"/>
      <c r="G17" s="22"/>
      <c r="H17" s="21"/>
      <c r="I17" s="22"/>
      <c r="J17" s="22"/>
      <c r="K17" s="22"/>
      <c r="L17" s="1"/>
      <c r="M17" s="21"/>
      <c r="N17" s="22"/>
      <c r="O17" s="22"/>
      <c r="P17" s="22"/>
      <c r="Q17" s="1"/>
      <c r="R17" s="21"/>
      <c r="S17" s="22"/>
      <c r="T17" s="22"/>
      <c r="U17" s="22"/>
      <c r="V17" s="1"/>
      <c r="W17" s="21"/>
      <c r="X17" s="22"/>
      <c r="Y17" s="22"/>
      <c r="Z17" s="22"/>
      <c r="AB17" s="21"/>
      <c r="AC17" s="22"/>
      <c r="AD17" s="22"/>
    </row>
    <row r="18" spans="2:33" ht="15" thickBot="1" x14ac:dyDescent="0.35">
      <c r="B18" s="17" t="s">
        <v>7</v>
      </c>
      <c r="C18" s="18" t="s">
        <v>10</v>
      </c>
      <c r="D18" s="16"/>
      <c r="E18" s="16"/>
      <c r="F18" s="15"/>
      <c r="G18" s="15"/>
      <c r="H18" s="15"/>
      <c r="I18" s="15"/>
      <c r="J18" s="15"/>
      <c r="K18" s="16"/>
      <c r="L18" s="16"/>
      <c r="M18" s="15"/>
      <c r="N18" s="15"/>
      <c r="O18" s="15"/>
      <c r="P18" s="15"/>
      <c r="Q18" s="15"/>
      <c r="R18" s="15"/>
      <c r="S18" s="16"/>
      <c r="T18" s="16"/>
      <c r="U18" s="15"/>
      <c r="V18" s="15"/>
      <c r="W18" s="8"/>
      <c r="X18" s="8"/>
      <c r="Y18" s="8"/>
      <c r="Z18" s="8"/>
      <c r="AA18" s="16"/>
      <c r="AB18" s="16"/>
      <c r="AC18" s="15"/>
      <c r="AD18" s="15"/>
    </row>
    <row r="19" spans="2:33" ht="15" thickBot="1" x14ac:dyDescent="0.35">
      <c r="B19" s="13" t="s">
        <v>8</v>
      </c>
      <c r="C19" s="14" t="s">
        <v>11</v>
      </c>
      <c r="D19" s="23"/>
      <c r="E19" s="24"/>
      <c r="F19" s="24"/>
      <c r="G19" s="25"/>
      <c r="H19" s="24"/>
      <c r="I19" s="24"/>
      <c r="J19" s="24"/>
      <c r="K19" s="23"/>
      <c r="L19" s="24"/>
      <c r="M19" s="24"/>
      <c r="N19" s="24"/>
      <c r="O19" s="23"/>
      <c r="P19" s="24"/>
      <c r="Q19" s="24"/>
      <c r="R19" s="24"/>
      <c r="S19" s="23"/>
      <c r="T19" s="24"/>
      <c r="U19" s="24"/>
      <c r="V19" s="24"/>
      <c r="W19" s="23"/>
      <c r="X19" s="24"/>
      <c r="Y19" s="24"/>
      <c r="Z19" s="24"/>
      <c r="AA19" s="23"/>
      <c r="AB19" s="24"/>
      <c r="AC19" s="24"/>
      <c r="AD19" s="24"/>
    </row>
    <row r="20" spans="2:33" ht="14.4" customHeight="1" x14ac:dyDescent="0.3">
      <c r="C20" s="9" t="s">
        <v>34</v>
      </c>
      <c r="D20" s="12"/>
      <c r="E20" s="21"/>
      <c r="F20" s="16"/>
      <c r="G20" s="16"/>
      <c r="H20" s="12"/>
      <c r="I20" s="21"/>
      <c r="K20" s="12"/>
      <c r="L20" s="16"/>
      <c r="M20" s="21"/>
      <c r="N20" s="16"/>
      <c r="O20" s="12"/>
      <c r="R20" s="21"/>
      <c r="S20" s="12"/>
      <c r="T20" s="16"/>
      <c r="U20" s="16"/>
      <c r="W20" s="12"/>
      <c r="X20" s="21"/>
      <c r="AA20" s="12"/>
      <c r="AB20" s="21"/>
      <c r="AC20" s="16"/>
      <c r="AD20" s="16"/>
      <c r="AF20" s="30"/>
      <c r="AG20" s="30"/>
    </row>
    <row r="21" spans="2:33" x14ac:dyDescent="0.3">
      <c r="C21" s="5"/>
      <c r="D21" s="43" t="s">
        <v>31</v>
      </c>
      <c r="E21" s="37" t="s">
        <v>32</v>
      </c>
      <c r="F21" s="37" t="s">
        <v>27</v>
      </c>
      <c r="G21" s="37" t="s">
        <v>33</v>
      </c>
      <c r="H21" s="37" t="s">
        <v>28</v>
      </c>
      <c r="I21" s="37" t="s">
        <v>29</v>
      </c>
      <c r="J21" s="44"/>
      <c r="K21" s="37" t="s">
        <v>28</v>
      </c>
      <c r="L21" s="37" t="s">
        <v>30</v>
      </c>
      <c r="M21" s="37" t="s">
        <v>23</v>
      </c>
      <c r="N21" s="37" t="s">
        <v>24</v>
      </c>
      <c r="O21" s="37" t="s">
        <v>26</v>
      </c>
      <c r="P21" s="45" t="s">
        <v>25</v>
      </c>
      <c r="Q21" s="43"/>
      <c r="R21" s="37" t="s">
        <v>32</v>
      </c>
      <c r="S21" s="37" t="s">
        <v>31</v>
      </c>
      <c r="T21" s="37" t="s">
        <v>30</v>
      </c>
      <c r="U21" s="37" t="s">
        <v>33</v>
      </c>
      <c r="V21" s="37" t="s">
        <v>25</v>
      </c>
      <c r="W21" s="37" t="s">
        <v>31</v>
      </c>
      <c r="X21" s="37" t="s">
        <v>29</v>
      </c>
      <c r="Y21" s="45" t="s">
        <v>25</v>
      </c>
      <c r="Z21" s="43"/>
      <c r="AA21" s="37" t="s">
        <v>31</v>
      </c>
      <c r="AB21" s="37" t="s">
        <v>29</v>
      </c>
      <c r="AC21" s="37" t="s">
        <v>30</v>
      </c>
      <c r="AD21" s="45" t="s">
        <v>33</v>
      </c>
      <c r="AF21" s="30"/>
      <c r="AG21" s="30"/>
    </row>
    <row r="22" spans="2:33" x14ac:dyDescent="0.3">
      <c r="C22" s="5"/>
      <c r="D22" s="43"/>
      <c r="E22" s="37"/>
      <c r="F22" s="37"/>
      <c r="G22" s="37"/>
      <c r="H22" s="37"/>
      <c r="I22" s="37"/>
      <c r="J22" s="44"/>
      <c r="K22" s="37"/>
      <c r="L22" s="37"/>
      <c r="M22" s="37"/>
      <c r="N22" s="37"/>
      <c r="O22" s="37"/>
      <c r="P22" s="45"/>
      <c r="Q22" s="43"/>
      <c r="R22" s="37"/>
      <c r="S22" s="37"/>
      <c r="T22" s="37"/>
      <c r="U22" s="37"/>
      <c r="V22" s="37"/>
      <c r="W22" s="37"/>
      <c r="X22" s="37"/>
      <c r="Y22" s="45"/>
      <c r="Z22" s="43"/>
      <c r="AA22" s="37"/>
      <c r="AB22" s="37"/>
      <c r="AC22" s="37"/>
      <c r="AD22" s="45"/>
      <c r="AF22" s="30"/>
      <c r="AG22" s="30"/>
    </row>
    <row r="23" spans="2:33" x14ac:dyDescent="0.3">
      <c r="C23" s="5"/>
      <c r="D23" s="43"/>
      <c r="E23" s="37"/>
      <c r="F23" s="37"/>
      <c r="G23" s="37"/>
      <c r="H23" s="37"/>
      <c r="I23" s="37"/>
      <c r="J23" s="44"/>
      <c r="K23" s="37"/>
      <c r="L23" s="37"/>
      <c r="M23" s="37"/>
      <c r="N23" s="37"/>
      <c r="O23" s="37"/>
      <c r="P23" s="45"/>
      <c r="Q23" s="43"/>
      <c r="R23" s="37"/>
      <c r="S23" s="37"/>
      <c r="T23" s="37"/>
      <c r="U23" s="37"/>
      <c r="V23" s="37"/>
      <c r="W23" s="37"/>
      <c r="X23" s="37"/>
      <c r="Y23" s="45"/>
      <c r="Z23" s="43"/>
      <c r="AA23" s="37"/>
      <c r="AB23" s="37"/>
      <c r="AC23" s="37"/>
      <c r="AD23" s="45"/>
      <c r="AF23" s="30"/>
      <c r="AG23" s="30"/>
    </row>
    <row r="24" spans="2:33" ht="15" thickBot="1" x14ac:dyDescent="0.35">
      <c r="C24" s="4"/>
      <c r="D24" s="43"/>
      <c r="E24" s="37"/>
      <c r="F24" s="37"/>
      <c r="G24" s="37"/>
      <c r="H24" s="37"/>
      <c r="I24" s="37"/>
      <c r="J24" s="44"/>
      <c r="K24" s="37"/>
      <c r="L24" s="37"/>
      <c r="M24" s="37"/>
      <c r="N24" s="37"/>
      <c r="O24" s="37"/>
      <c r="P24" s="45"/>
      <c r="Q24" s="43"/>
      <c r="R24" s="37"/>
      <c r="S24" s="37"/>
      <c r="T24" s="37"/>
      <c r="U24" s="37"/>
      <c r="V24" s="37"/>
      <c r="W24" s="37"/>
      <c r="X24" s="37"/>
      <c r="Y24" s="45"/>
      <c r="Z24" s="43"/>
      <c r="AA24" s="37"/>
      <c r="AB24" s="37"/>
      <c r="AC24" s="37"/>
      <c r="AD24" s="45"/>
    </row>
    <row r="25" spans="2:33" ht="15" thickBot="1" x14ac:dyDescent="0.35">
      <c r="B25" s="26" t="s">
        <v>19</v>
      </c>
      <c r="C25" s="27"/>
      <c r="M25" s="29"/>
    </row>
    <row r="26" spans="2:33" ht="15" thickBot="1" x14ac:dyDescent="0.35">
      <c r="B26" s="28" t="s">
        <v>21</v>
      </c>
      <c r="C26" s="4">
        <f>SUM(R9:R11)</f>
        <v>0.7</v>
      </c>
    </row>
    <row r="27" spans="2:33" x14ac:dyDescent="0.3">
      <c r="B27" s="33" t="s">
        <v>22</v>
      </c>
      <c r="C27" s="34"/>
    </row>
    <row r="28" spans="2:33" ht="15" thickBot="1" x14ac:dyDescent="0.35">
      <c r="B28" s="35"/>
      <c r="C28" s="36"/>
    </row>
    <row r="31" spans="2:33" ht="28.8" x14ac:dyDescent="0.55000000000000004">
      <c r="B31" s="55" t="s">
        <v>36</v>
      </c>
    </row>
    <row r="32" spans="2:33" ht="15" thickBot="1" x14ac:dyDescent="0.35">
      <c r="B32" s="7"/>
      <c r="C32" s="6" t="s">
        <v>5</v>
      </c>
      <c r="D32" s="10">
        <v>1</v>
      </c>
      <c r="E32" s="10">
        <v>2</v>
      </c>
      <c r="F32" s="10">
        <v>3</v>
      </c>
      <c r="G32" s="10">
        <v>4</v>
      </c>
      <c r="H32" s="10">
        <v>5</v>
      </c>
      <c r="I32" s="10">
        <v>6</v>
      </c>
      <c r="J32" s="10">
        <v>7</v>
      </c>
      <c r="K32" s="10">
        <v>8</v>
      </c>
      <c r="L32" s="10">
        <v>9</v>
      </c>
      <c r="M32" s="10">
        <v>10</v>
      </c>
      <c r="N32" s="10">
        <v>11</v>
      </c>
      <c r="O32" s="10">
        <v>12</v>
      </c>
      <c r="P32" s="10">
        <v>13</v>
      </c>
      <c r="Q32" s="10">
        <v>14</v>
      </c>
      <c r="R32" s="10">
        <v>15</v>
      </c>
      <c r="S32" s="10">
        <v>16</v>
      </c>
      <c r="T32" s="10">
        <v>17</v>
      </c>
      <c r="U32" s="10">
        <v>18</v>
      </c>
      <c r="V32" s="10">
        <v>19</v>
      </c>
      <c r="W32" s="11">
        <v>20</v>
      </c>
      <c r="X32" s="11">
        <v>21</v>
      </c>
      <c r="Y32" s="11">
        <v>22</v>
      </c>
      <c r="Z32" s="11">
        <v>23</v>
      </c>
      <c r="AA32" s="10">
        <v>24</v>
      </c>
      <c r="AB32" s="10">
        <v>25</v>
      </c>
      <c r="AC32" s="10">
        <v>26</v>
      </c>
      <c r="AD32" s="10">
        <v>27</v>
      </c>
    </row>
    <row r="33" spans="2:30" ht="15" thickBot="1" x14ac:dyDescent="0.35">
      <c r="B33" s="19" t="s">
        <v>6</v>
      </c>
      <c r="C33" s="20" t="s">
        <v>9</v>
      </c>
      <c r="D33" s="21"/>
      <c r="E33" s="22"/>
      <c r="F33" s="22"/>
      <c r="G33" s="22"/>
      <c r="H33" s="21"/>
      <c r="I33" s="22"/>
      <c r="J33" s="22"/>
      <c r="K33" s="22"/>
      <c r="L33" s="1"/>
      <c r="M33" s="21"/>
      <c r="N33" s="22"/>
      <c r="O33" s="22"/>
      <c r="P33" s="22"/>
      <c r="Q33" s="1"/>
      <c r="R33" s="21"/>
      <c r="S33" s="22"/>
      <c r="T33" s="22"/>
      <c r="U33" s="22"/>
      <c r="V33" s="1"/>
      <c r="W33" s="21"/>
      <c r="X33" s="22"/>
      <c r="Y33" s="22"/>
      <c r="Z33" s="22"/>
      <c r="AB33" s="21"/>
      <c r="AC33" s="22"/>
      <c r="AD33" s="22"/>
    </row>
    <row r="34" spans="2:30" ht="15" thickBot="1" x14ac:dyDescent="0.35">
      <c r="B34" s="17" t="s">
        <v>7</v>
      </c>
      <c r="C34" s="18" t="s">
        <v>10</v>
      </c>
      <c r="D34" s="16"/>
      <c r="E34" s="16"/>
      <c r="F34" s="15"/>
      <c r="G34" s="15"/>
      <c r="H34" s="15"/>
      <c r="I34" s="15"/>
      <c r="J34" s="15"/>
      <c r="K34" s="16"/>
      <c r="L34" s="16"/>
      <c r="M34" s="15"/>
      <c r="N34" s="15"/>
      <c r="O34" s="15"/>
      <c r="P34" s="15"/>
      <c r="Q34" s="15"/>
      <c r="R34" s="15"/>
      <c r="S34" s="16"/>
      <c r="T34" s="16"/>
      <c r="U34" s="15"/>
      <c r="V34" s="15"/>
      <c r="W34" s="8"/>
      <c r="X34" s="8"/>
      <c r="Y34" s="8"/>
      <c r="Z34" s="8"/>
      <c r="AA34" s="16"/>
      <c r="AB34" s="16"/>
      <c r="AC34" s="15"/>
      <c r="AD34" s="15"/>
    </row>
    <row r="35" spans="2:30" ht="15" thickBot="1" x14ac:dyDescent="0.35">
      <c r="B35" s="13" t="s">
        <v>8</v>
      </c>
      <c r="C35" s="14" t="s">
        <v>11</v>
      </c>
      <c r="D35" s="23"/>
      <c r="E35" s="24"/>
      <c r="F35" s="24"/>
      <c r="G35" s="25"/>
      <c r="H35" s="24"/>
      <c r="I35" s="24"/>
      <c r="J35" s="24"/>
      <c r="K35" s="23"/>
      <c r="L35" s="24"/>
      <c r="M35" s="24"/>
      <c r="N35" s="24"/>
      <c r="O35" s="23"/>
      <c r="P35" s="24"/>
      <c r="Q35" s="24"/>
      <c r="R35" s="24"/>
      <c r="S35" s="23"/>
      <c r="T35" s="24"/>
      <c r="U35" s="24"/>
      <c r="V35" s="24"/>
      <c r="W35" s="23"/>
      <c r="X35" s="24"/>
      <c r="Y35" s="24"/>
      <c r="Z35" s="24"/>
      <c r="AA35" s="23"/>
      <c r="AB35" s="24"/>
      <c r="AC35" s="24"/>
      <c r="AD35" s="24"/>
    </row>
    <row r="36" spans="2:30" x14ac:dyDescent="0.3">
      <c r="C36" s="9" t="s">
        <v>34</v>
      </c>
      <c r="D36" s="12"/>
      <c r="E36" s="21"/>
      <c r="F36" s="16"/>
      <c r="G36" s="12"/>
      <c r="H36" s="21"/>
      <c r="I36" s="16"/>
      <c r="K36" s="12"/>
      <c r="L36" s="16"/>
      <c r="M36" s="21"/>
      <c r="N36" s="16"/>
      <c r="O36" s="12"/>
      <c r="R36" s="21"/>
      <c r="S36" s="12"/>
      <c r="T36" s="16"/>
      <c r="U36" s="16"/>
      <c r="W36" s="12"/>
      <c r="X36" s="21"/>
      <c r="AA36" s="12"/>
      <c r="AB36" s="21"/>
      <c r="AC36" s="16"/>
      <c r="AD36" s="16"/>
    </row>
    <row r="37" spans="2:30" ht="14.4" customHeight="1" x14ac:dyDescent="0.3">
      <c r="C37" s="5"/>
      <c r="D37" s="67" t="s">
        <v>31</v>
      </c>
      <c r="E37" s="68" t="s">
        <v>32</v>
      </c>
      <c r="F37" s="68" t="s">
        <v>27</v>
      </c>
      <c r="G37" s="68" t="s">
        <v>42</v>
      </c>
      <c r="H37" s="68" t="s">
        <v>42</v>
      </c>
      <c r="I37" s="68" t="s">
        <v>24</v>
      </c>
      <c r="J37" s="69"/>
      <c r="K37" s="68" t="s">
        <v>40</v>
      </c>
      <c r="L37" s="68" t="s">
        <v>30</v>
      </c>
      <c r="M37" s="68" t="s">
        <v>41</v>
      </c>
      <c r="N37" s="68" t="s">
        <v>24</v>
      </c>
      <c r="O37" s="68" t="s">
        <v>26</v>
      </c>
      <c r="P37" s="70" t="s">
        <v>25</v>
      </c>
      <c r="Q37" s="67"/>
      <c r="R37" s="68" t="s">
        <v>32</v>
      </c>
      <c r="S37" s="68" t="s">
        <v>42</v>
      </c>
      <c r="T37" s="68" t="s">
        <v>30</v>
      </c>
      <c r="U37" s="68" t="s">
        <v>33</v>
      </c>
      <c r="V37" s="68" t="s">
        <v>25</v>
      </c>
      <c r="W37" s="68" t="s">
        <v>31</v>
      </c>
      <c r="X37" s="68" t="s">
        <v>29</v>
      </c>
      <c r="Y37" s="70" t="s">
        <v>25</v>
      </c>
      <c r="Z37" s="67"/>
      <c r="AA37" s="68" t="s">
        <v>42</v>
      </c>
      <c r="AB37" s="68" t="s">
        <v>41</v>
      </c>
      <c r="AC37" s="68" t="s">
        <v>30</v>
      </c>
      <c r="AD37" s="70" t="s">
        <v>33</v>
      </c>
    </row>
    <row r="38" spans="2:30" x14ac:dyDescent="0.3">
      <c r="C38" s="5"/>
      <c r="D38" s="67"/>
      <c r="E38" s="68"/>
      <c r="F38" s="68"/>
      <c r="G38" s="68"/>
      <c r="H38" s="68"/>
      <c r="I38" s="68"/>
      <c r="J38" s="69"/>
      <c r="K38" s="68"/>
      <c r="L38" s="68"/>
      <c r="M38" s="68"/>
      <c r="N38" s="68"/>
      <c r="O38" s="68"/>
      <c r="P38" s="70"/>
      <c r="Q38" s="67"/>
      <c r="R38" s="68"/>
      <c r="S38" s="68"/>
      <c r="T38" s="68"/>
      <c r="U38" s="68"/>
      <c r="V38" s="68"/>
      <c r="W38" s="68"/>
      <c r="X38" s="68"/>
      <c r="Y38" s="70"/>
      <c r="Z38" s="67"/>
      <c r="AA38" s="68"/>
      <c r="AB38" s="68"/>
      <c r="AC38" s="68"/>
      <c r="AD38" s="70"/>
    </row>
    <row r="39" spans="2:30" x14ac:dyDescent="0.3">
      <c r="C39" s="5"/>
      <c r="D39" s="67"/>
      <c r="E39" s="68"/>
      <c r="F39" s="68"/>
      <c r="G39" s="68"/>
      <c r="H39" s="68"/>
      <c r="I39" s="68"/>
      <c r="J39" s="69"/>
      <c r="K39" s="68"/>
      <c r="L39" s="68"/>
      <c r="M39" s="68"/>
      <c r="N39" s="68"/>
      <c r="O39" s="68"/>
      <c r="P39" s="70"/>
      <c r="Q39" s="67"/>
      <c r="R39" s="68"/>
      <c r="S39" s="68"/>
      <c r="T39" s="68"/>
      <c r="U39" s="68"/>
      <c r="V39" s="68"/>
      <c r="W39" s="68"/>
      <c r="X39" s="68"/>
      <c r="Y39" s="70"/>
      <c r="Z39" s="67"/>
      <c r="AA39" s="68"/>
      <c r="AB39" s="68"/>
      <c r="AC39" s="68"/>
      <c r="AD39" s="70"/>
    </row>
    <row r="40" spans="2:30" ht="15" thickBot="1" x14ac:dyDescent="0.35">
      <c r="C40" s="4"/>
      <c r="D40" s="67"/>
      <c r="E40" s="68"/>
      <c r="F40" s="68"/>
      <c r="G40" s="68"/>
      <c r="H40" s="68"/>
      <c r="I40" s="68"/>
      <c r="J40" s="69"/>
      <c r="K40" s="68"/>
      <c r="L40" s="68"/>
      <c r="M40" s="68"/>
      <c r="N40" s="68"/>
      <c r="O40" s="68"/>
      <c r="P40" s="70"/>
      <c r="Q40" s="67"/>
      <c r="R40" s="68"/>
      <c r="S40" s="68"/>
      <c r="T40" s="68"/>
      <c r="U40" s="68"/>
      <c r="V40" s="68"/>
      <c r="W40" s="68"/>
      <c r="X40" s="68"/>
      <c r="Y40" s="70"/>
      <c r="Z40" s="67"/>
      <c r="AA40" s="68"/>
      <c r="AB40" s="68"/>
      <c r="AC40" s="68"/>
      <c r="AD40" s="70"/>
    </row>
    <row r="41" spans="2:30" ht="15" thickBot="1" x14ac:dyDescent="0.35">
      <c r="B41" s="56" t="s">
        <v>19</v>
      </c>
      <c r="C41" s="57"/>
      <c r="M41" s="29"/>
    </row>
    <row r="42" spans="2:30" x14ac:dyDescent="0.3">
      <c r="B42" s="58" t="s">
        <v>21</v>
      </c>
      <c r="C42" s="57">
        <f>C26</f>
        <v>0.7</v>
      </c>
    </row>
    <row r="43" spans="2:30" x14ac:dyDescent="0.3">
      <c r="B43" s="59" t="s">
        <v>37</v>
      </c>
      <c r="C43" s="60">
        <f>3*(POWER(2, 1/3)-1)</f>
        <v>0.77976314968461957</v>
      </c>
      <c r="D43" t="s">
        <v>44</v>
      </c>
      <c r="E43" t="s">
        <v>43</v>
      </c>
    </row>
    <row r="44" spans="2:30" ht="28.8" customHeight="1" x14ac:dyDescent="0.3">
      <c r="B44" s="61" t="s">
        <v>38</v>
      </c>
      <c r="C44" s="62"/>
    </row>
    <row r="45" spans="2:30" x14ac:dyDescent="0.3">
      <c r="B45" s="63" t="s">
        <v>39</v>
      </c>
      <c r="C45" s="64"/>
    </row>
    <row r="46" spans="2:30" ht="15" thickBot="1" x14ac:dyDescent="0.35">
      <c r="B46" s="65"/>
      <c r="C46" s="66"/>
    </row>
  </sheetData>
  <mergeCells count="59">
    <mergeCell ref="B45:C46"/>
    <mergeCell ref="B44:C44"/>
    <mergeCell ref="Y37:Z40"/>
    <mergeCell ref="AA37:AA40"/>
    <mergeCell ref="AB37:AB40"/>
    <mergeCell ref="AC37:AC40"/>
    <mergeCell ref="AD37:AD40"/>
    <mergeCell ref="T37:T40"/>
    <mergeCell ref="U37:U40"/>
    <mergeCell ref="V37:V40"/>
    <mergeCell ref="W37:W40"/>
    <mergeCell ref="X37:X40"/>
    <mergeCell ref="N37:N40"/>
    <mergeCell ref="O37:O40"/>
    <mergeCell ref="P37:Q40"/>
    <mergeCell ref="R37:R40"/>
    <mergeCell ref="S37:S40"/>
    <mergeCell ref="I37:I40"/>
    <mergeCell ref="J37:J40"/>
    <mergeCell ref="K37:K40"/>
    <mergeCell ref="L37:L40"/>
    <mergeCell ref="M37:M40"/>
    <mergeCell ref="D37:D40"/>
    <mergeCell ref="E37:E40"/>
    <mergeCell ref="F37:F40"/>
    <mergeCell ref="G37:G40"/>
    <mergeCell ref="H37:H40"/>
    <mergeCell ref="B3:G3"/>
    <mergeCell ref="B4:G4"/>
    <mergeCell ref="B5:G5"/>
    <mergeCell ref="B6:G6"/>
    <mergeCell ref="B7:G7"/>
    <mergeCell ref="Y21:Z24"/>
    <mergeCell ref="AD21:AD24"/>
    <mergeCell ref="AA21:AA24"/>
    <mergeCell ref="AB21:AB24"/>
    <mergeCell ref="AC21:AC24"/>
    <mergeCell ref="X21:X24"/>
    <mergeCell ref="K21:K24"/>
    <mergeCell ref="L21:L24"/>
    <mergeCell ref="O21:O24"/>
    <mergeCell ref="P21:Q24"/>
    <mergeCell ref="U21:U24"/>
    <mergeCell ref="S21:S24"/>
    <mergeCell ref="T21:T24"/>
    <mergeCell ref="R21:R24"/>
    <mergeCell ref="M21:M24"/>
    <mergeCell ref="N21:N24"/>
    <mergeCell ref="V21:V24"/>
    <mergeCell ref="F21:F24"/>
    <mergeCell ref="J21:J24"/>
    <mergeCell ref="G21:G24"/>
    <mergeCell ref="W21:W24"/>
    <mergeCell ref="B27:C28"/>
    <mergeCell ref="H21:H24"/>
    <mergeCell ref="I21:I24"/>
    <mergeCell ref="E21:E24"/>
    <mergeCell ref="B9:K13"/>
    <mergeCell ref="D21:D2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Romeo Gabriel Perlstein</dc:creator>
  <cp:lastModifiedBy>Romeo Gabriel Perlstein</cp:lastModifiedBy>
  <dcterms:created xsi:type="dcterms:W3CDTF">2026-03-01T23:20:36Z</dcterms:created>
  <dcterms:modified xsi:type="dcterms:W3CDTF">2026-03-03T04:26:37Z</dcterms:modified>
</cp:coreProperties>
</file>